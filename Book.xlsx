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 defaultThemeVersion="166925"/>
  <xr:revisionPtr revIDLastSave="0" documentId="8_{E6F98641-1CF5-4615-940B-35DB4A46F58E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ayfa1" sheetId="3" r:id="rId1"/>
    <sheet name="Sayfa2" sheetId="5" r:id="rId2"/>
  </sheets>
  <definedNames>
    <definedName name="Dilimleyici_Category">#N/A</definedName>
    <definedName name="Dilimleyici_Region">#N/A</definedName>
    <definedName name="maas">#REF!</definedName>
  </definedNames>
  <calcPr calcId="191028"/>
  <pivotCaches>
    <pivotCache cacheId="263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3" l="1"/>
  <c r="I3" i="3"/>
  <c r="I4" i="3"/>
  <c r="I5" i="3"/>
  <c r="I6" i="3"/>
  <c r="I7" i="3"/>
  <c r="I8" i="3"/>
  <c r="I9" i="3"/>
  <c r="I10" i="3"/>
  <c r="I11" i="3"/>
  <c r="N5" i="5"/>
  <c r="S5" i="5"/>
  <c r="Y5" i="5"/>
  <c r="AD5" i="5"/>
</calcChain>
</file>

<file path=xl/sharedStrings.xml><?xml version="1.0" encoding="utf-8"?>
<sst xmlns="http://schemas.openxmlformats.org/spreadsheetml/2006/main" count="86" uniqueCount="53">
  <si>
    <t>Date</t>
  </si>
  <si>
    <t>Region</t>
  </si>
  <si>
    <t>City</t>
  </si>
  <si>
    <t>Category</t>
  </si>
  <si>
    <t>Product</t>
  </si>
  <si>
    <t>Sales</t>
  </si>
  <si>
    <t>Profit</t>
  </si>
  <si>
    <t>Customer_ID</t>
  </si>
  <si>
    <t>Month</t>
  </si>
  <si>
    <t>Aegean</t>
  </si>
  <si>
    <t>Izmir</t>
  </si>
  <si>
    <t>Electronics</t>
  </si>
  <si>
    <t>Laptop</t>
  </si>
  <si>
    <t>C001</t>
  </si>
  <si>
    <t>Marmara</t>
  </si>
  <si>
    <t>Istanbul</t>
  </si>
  <si>
    <t>Appliances</t>
  </si>
  <si>
    <t>Refrigerator</t>
  </si>
  <si>
    <t>C002</t>
  </si>
  <si>
    <t>Mediterranean</t>
  </si>
  <si>
    <t>Antalya</t>
  </si>
  <si>
    <t>Phone</t>
  </si>
  <si>
    <t>C003</t>
  </si>
  <si>
    <t>Manisa</t>
  </si>
  <si>
    <t>Furniture</t>
  </si>
  <si>
    <t>Table</t>
  </si>
  <si>
    <t>C004</t>
  </si>
  <si>
    <t>Bursa</t>
  </si>
  <si>
    <t>Tablet</t>
  </si>
  <si>
    <t>C005</t>
  </si>
  <si>
    <t>Washing Machine</t>
  </si>
  <si>
    <t>C006</t>
  </si>
  <si>
    <t>Adana</t>
  </si>
  <si>
    <t>Sofa</t>
  </si>
  <si>
    <t>C007</t>
  </si>
  <si>
    <t>Aydin</t>
  </si>
  <si>
    <t>Headphones</t>
  </si>
  <si>
    <t>C008</t>
  </si>
  <si>
    <t>C009</t>
  </si>
  <si>
    <t>Denizli</t>
  </si>
  <si>
    <t>Chair</t>
  </si>
  <si>
    <t>C010</t>
  </si>
  <si>
    <t>Total Sales</t>
  </si>
  <si>
    <t>Total Profit</t>
  </si>
  <si>
    <t>Profit Margin</t>
  </si>
  <si>
    <t>Customers</t>
  </si>
  <si>
    <t>Toplam Sales</t>
  </si>
  <si>
    <t>Genel Toplam</t>
  </si>
  <si>
    <t>Oca</t>
  </si>
  <si>
    <t>Şub</t>
  </si>
  <si>
    <t>Mar</t>
  </si>
  <si>
    <t>Nis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</si>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</sst>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theme="4" tint="-0.249977111117893"/>
      <name val="Calibri"/>
      <scheme val="minor"/>
    </font>
    <font>
      <sz val="11"/>
      <color theme="4" tint="-0.249977111117893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6"/>
      <color theme="4" tint="-0.249977111117893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3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0" fillId="0" borderId="0" xfId="0" pivotButton="1"/>
    <xf numFmtId="14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</cellXfs>
  <cellStyles count="2">
    <cellStyle name="Hyperlink" xfId="1" xr:uid="{00000000-000B-0000-0000-000008000000}"/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4.9989318521683403E-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[Book.xlsx]Sayfa2!PivotTable4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30549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305496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Sayfa2!$D$71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Sayfa2!$C$72:$C$75</c:f>
              <c:strCache>
                <c:ptCount val="3"/>
                <c:pt idx="0">
                  <c:v>Aegean</c:v>
                </c:pt>
                <c:pt idx="1">
                  <c:v>Marmara</c:v>
                </c:pt>
                <c:pt idx="2">
                  <c:v>Mediterranean</c:v>
                </c:pt>
              </c:strCache>
            </c:strRef>
          </c:cat>
          <c:val>
            <c:numRef>
              <c:f>Sayfa2!$D$72:$D$75</c:f>
              <c:numCache>
                <c:formatCode>General</c:formatCode>
                <c:ptCount val="3"/>
                <c:pt idx="0">
                  <c:v>36000</c:v>
                </c:pt>
                <c:pt idx="1">
                  <c:v>35000</c:v>
                </c:pt>
                <c:pt idx="2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BD-4CD4-8770-22077411C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4264455"/>
        <c:axId val="1764290567"/>
      </c:barChart>
      <c:catAx>
        <c:axId val="176426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90567"/>
        <c:crosses val="autoZero"/>
        <c:auto val="1"/>
        <c:lblAlgn val="ctr"/>
        <c:lblOffset val="100"/>
        <c:noMultiLvlLbl val="0"/>
      </c:catAx>
      <c:valAx>
        <c:axId val="1764290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264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[Book.xlsx]Sayfa2!PivotTable5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Sayfa2!$I$73</c:f>
              <c:strCache>
                <c:ptCount val="1"/>
                <c:pt idx="0">
                  <c:v>Toplam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Sayfa2!$H$74:$H$77</c:f>
              <c:strCache>
                <c:ptCount val="3"/>
                <c:pt idx="0">
                  <c:v>Appliances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Sayfa2!$I$74:$I$77</c:f>
              <c:numCache>
                <c:formatCode>General</c:formatCode>
                <c:ptCount val="3"/>
                <c:pt idx="0">
                  <c:v>23000</c:v>
                </c:pt>
                <c:pt idx="1">
                  <c:v>48000</c:v>
                </c:pt>
                <c:pt idx="2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C0-481A-8933-475E7F95BD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55937287"/>
        <c:axId val="1755939335"/>
      </c:barChart>
      <c:catAx>
        <c:axId val="1755937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39335"/>
        <c:crosses val="autoZero"/>
        <c:auto val="1"/>
        <c:lblAlgn val="ctr"/>
        <c:lblOffset val="100"/>
        <c:noMultiLvlLbl val="0"/>
      </c:catAx>
      <c:valAx>
        <c:axId val="1755939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5937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[Book.xlsx]Sayfa2!PivotTable10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4472C4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 by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4472C4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Sayfa2!$P$98</c:f>
              <c:strCache>
                <c:ptCount val="1"/>
                <c:pt idx="0">
                  <c:v>Toplam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Sayfa2!$O$99:$O$104</c:f>
              <c:strCache>
                <c:ptCount val="5"/>
                <c:pt idx="0">
                  <c:v>Oca</c:v>
                </c:pt>
                <c:pt idx="1">
                  <c:v>Şub</c:v>
                </c:pt>
                <c:pt idx="2">
                  <c:v>Mar</c:v>
                </c:pt>
                <c:pt idx="3">
                  <c:v>Nis</c:v>
                </c:pt>
                <c:pt idx="4">
                  <c:v>May</c:v>
                </c:pt>
              </c:strCache>
            </c:strRef>
          </c:cat>
          <c:val>
            <c:numRef>
              <c:f>Sayfa2!$P$99:$P$104</c:f>
              <c:numCache>
                <c:formatCode>General</c:formatCode>
                <c:ptCount val="5"/>
                <c:pt idx="0">
                  <c:v>27000</c:v>
                </c:pt>
                <c:pt idx="1">
                  <c:v>13000</c:v>
                </c:pt>
                <c:pt idx="2">
                  <c:v>18000</c:v>
                </c:pt>
                <c:pt idx="3">
                  <c:v>11000</c:v>
                </c:pt>
                <c:pt idx="4">
                  <c:v>19000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31-4804-8171-B81A6A1D6D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5328007"/>
        <c:axId val="1725358599"/>
      </c:lineChart>
      <c:catAx>
        <c:axId val="1675328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358599"/>
        <c:crosses val="autoZero"/>
        <c:auto val="1"/>
        <c:lblAlgn val="ctr"/>
        <c:lblOffset val="100"/>
        <c:noMultiLvlLbl val="0"/>
      </c:catAx>
      <c:valAx>
        <c:axId val="1725358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5328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28575</xdr:colOff>
      <xdr:row>0</xdr:row>
      <xdr:rowOff>0</xdr:rowOff>
    </xdr:from>
    <xdr:to>
      <xdr:col>24</xdr:col>
      <xdr:colOff>476250</xdr:colOff>
      <xdr:row>1</xdr:row>
      <xdr:rowOff>161925</xdr:rowOff>
    </xdr:to>
    <xdr:sp macro="" textlink="">
      <xdr:nvSpPr>
        <xdr:cNvPr id="3" name="Metin Kutusu 2">
          <a:extLst>
            <a:ext uri="{FF2B5EF4-FFF2-40B4-BE49-F238E27FC236}">
              <a16:creationId xmlns:a16="http://schemas.microsoft.com/office/drawing/2014/main" id="{E70C2DC1-DD78-C889-4527-BAA7E233B761}"/>
            </a:ext>
          </a:extLst>
        </xdr:cNvPr>
        <xdr:cNvSpPr txBox="1"/>
      </xdr:nvSpPr>
      <xdr:spPr>
        <a:xfrm>
          <a:off x="11725275" y="0"/>
          <a:ext cx="4714875" cy="352425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ctr"/>
          <a:r>
            <a:rPr lang="en-US" sz="2400" b="1" i="0" u="none" strike="noStrike">
              <a:solidFill>
                <a:schemeClr val="accent1">
                  <a:lumMod val="7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SALES PERFORMANCE DASHBOARD</a:t>
          </a:r>
        </a:p>
      </xdr:txBody>
    </xdr:sp>
    <xdr:clientData/>
  </xdr:twoCellAnchor>
  <xdr:twoCellAnchor>
    <xdr:from>
      <xdr:col>27</xdr:col>
      <xdr:colOff>466725</xdr:colOff>
      <xdr:row>2</xdr:row>
      <xdr:rowOff>19050</xdr:rowOff>
    </xdr:from>
    <xdr:to>
      <xdr:col>30</xdr:col>
      <xdr:colOff>600075</xdr:colOff>
      <xdr:row>6</xdr:row>
      <xdr:rowOff>19050</xdr:rowOff>
    </xdr:to>
    <xdr:sp macro="" textlink="">
      <xdr:nvSpPr>
        <xdr:cNvPr id="7" name="Yuvarlatılmış Dikdörtgen 6">
          <a:extLst>
            <a:ext uri="{FF2B5EF4-FFF2-40B4-BE49-F238E27FC236}">
              <a16:creationId xmlns:a16="http://schemas.microsoft.com/office/drawing/2014/main" id="{DEC93BC3-3903-193D-80B2-7AACFF221B8D}"/>
            </a:ext>
            <a:ext uri="{147F2762-F138-4A5C-976F-8EAC2B608ADB}">
              <a16:predDERef xmlns:a16="http://schemas.microsoft.com/office/drawing/2014/main" pred="{CFAF3302-DABA-422C-1AF4-56AEB2B8096B}"/>
            </a:ext>
          </a:extLst>
        </xdr:cNvPr>
        <xdr:cNvSpPr/>
      </xdr:nvSpPr>
      <xdr:spPr>
        <a:xfrm>
          <a:off x="18259425" y="400050"/>
          <a:ext cx="3086100" cy="1104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9</xdr:col>
      <xdr:colOff>85725</xdr:colOff>
      <xdr:row>10</xdr:row>
      <xdr:rowOff>9525</xdr:rowOff>
    </xdr:from>
    <xdr:to>
      <xdr:col>17</xdr:col>
      <xdr:colOff>57150</xdr:colOff>
      <xdr:row>24</xdr:row>
      <xdr:rowOff>85725</xdr:rowOff>
    </xdr:to>
    <xdr:graphicFrame macro="">
      <xdr:nvGraphicFramePr>
        <xdr:cNvPr id="9" name="Çizelge 8">
          <a:extLst>
            <a:ext uri="{FF2B5EF4-FFF2-40B4-BE49-F238E27FC236}">
              <a16:creationId xmlns:a16="http://schemas.microsoft.com/office/drawing/2014/main" id="{F89C3E8C-89AA-AFDF-1922-650766483816}"/>
            </a:ext>
            <a:ext uri="{147F2762-F138-4A5C-976F-8EAC2B608ADB}">
              <a16:predDERef xmlns:a16="http://schemas.microsoft.com/office/drawing/2014/main" pred="{DEC93BC3-3903-193D-80B2-7AACFF221B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123825</xdr:colOff>
      <xdr:row>2</xdr:row>
      <xdr:rowOff>28575</xdr:rowOff>
    </xdr:from>
    <xdr:to>
      <xdr:col>26</xdr:col>
      <xdr:colOff>504825</xdr:colOff>
      <xdr:row>6</xdr:row>
      <xdr:rowOff>28575</xdr:rowOff>
    </xdr:to>
    <xdr:sp macro="" textlink="">
      <xdr:nvSpPr>
        <xdr:cNvPr id="12" name="Yuvarlatılmış Dikdörtgen 11">
          <a:extLst>
            <a:ext uri="{FF2B5EF4-FFF2-40B4-BE49-F238E27FC236}">
              <a16:creationId xmlns:a16="http://schemas.microsoft.com/office/drawing/2014/main" id="{2D3EA9D2-17FB-FDB7-9F46-E6C593C80D5B}"/>
            </a:ext>
            <a:ext uri="{147F2762-F138-4A5C-976F-8EAC2B608ADB}">
              <a16:predDERef xmlns:a16="http://schemas.microsoft.com/office/drawing/2014/main" pred="{74701D5A-B00B-5196-FE5B-DB11E17C3BE5}"/>
            </a:ext>
          </a:extLst>
        </xdr:cNvPr>
        <xdr:cNvSpPr/>
      </xdr:nvSpPr>
      <xdr:spPr>
        <a:xfrm>
          <a:off x="14868525" y="409575"/>
          <a:ext cx="2819400" cy="11049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16</xdr:col>
      <xdr:colOff>381000</xdr:colOff>
      <xdr:row>2</xdr:row>
      <xdr:rowOff>85725</xdr:rowOff>
    </xdr:from>
    <xdr:to>
      <xdr:col>21</xdr:col>
      <xdr:colOff>0</xdr:colOff>
      <xdr:row>6</xdr:row>
      <xdr:rowOff>28575</xdr:rowOff>
    </xdr:to>
    <xdr:sp macro="" textlink="">
      <xdr:nvSpPr>
        <xdr:cNvPr id="14" name="Yuvarlatılmış Dikdörtgen 13">
          <a:extLst>
            <a:ext uri="{FF2B5EF4-FFF2-40B4-BE49-F238E27FC236}">
              <a16:creationId xmlns:a16="http://schemas.microsoft.com/office/drawing/2014/main" id="{51E49A84-8030-CC4C-4EAE-259FC75903AE}"/>
            </a:ext>
            <a:ext uri="{147F2762-F138-4A5C-976F-8EAC2B608ADB}">
              <a16:predDERef xmlns:a16="http://schemas.microsoft.com/office/drawing/2014/main" pred="{2D3EA9D2-17FB-FDB7-9F46-E6C593C80D5B}"/>
            </a:ext>
          </a:extLst>
        </xdr:cNvPr>
        <xdr:cNvSpPr/>
      </xdr:nvSpPr>
      <xdr:spPr>
        <a:xfrm>
          <a:off x="11468100" y="466725"/>
          <a:ext cx="2667000" cy="104775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11</xdr:col>
      <xdr:colOff>209550</xdr:colOff>
      <xdr:row>2</xdr:row>
      <xdr:rowOff>66675</xdr:rowOff>
    </xdr:from>
    <xdr:to>
      <xdr:col>15</xdr:col>
      <xdr:colOff>266700</xdr:colOff>
      <xdr:row>6</xdr:row>
      <xdr:rowOff>28575</xdr:rowOff>
    </xdr:to>
    <xdr:sp macro="" textlink="">
      <xdr:nvSpPr>
        <xdr:cNvPr id="15" name="Yuvarlatılmış Dikdörtgen 14">
          <a:extLst>
            <a:ext uri="{FF2B5EF4-FFF2-40B4-BE49-F238E27FC236}">
              <a16:creationId xmlns:a16="http://schemas.microsoft.com/office/drawing/2014/main" id="{E18299CA-1305-33B4-6A96-0EB4FE3AE2E6}"/>
            </a:ext>
            <a:ext uri="{147F2762-F138-4A5C-976F-8EAC2B608ADB}">
              <a16:predDERef xmlns:a16="http://schemas.microsoft.com/office/drawing/2014/main" pred="{51E49A84-8030-CC4C-4EAE-259FC75903AE}"/>
            </a:ext>
          </a:extLst>
        </xdr:cNvPr>
        <xdr:cNvSpPr/>
      </xdr:nvSpPr>
      <xdr:spPr>
        <a:xfrm>
          <a:off x="8248650" y="447675"/>
          <a:ext cx="2495550" cy="1066800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4</xdr:col>
      <xdr:colOff>828675</xdr:colOff>
      <xdr:row>9</xdr:row>
      <xdr:rowOff>180975</xdr:rowOff>
    </xdr:from>
    <xdr:to>
      <xdr:col>7</xdr:col>
      <xdr:colOff>866775</xdr:colOff>
      <xdr:row>18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8" name="Region">
              <a:extLst>
                <a:ext uri="{FF2B5EF4-FFF2-40B4-BE49-F238E27FC236}">
                  <a16:creationId xmlns:a16="http://schemas.microsoft.com/office/drawing/2014/main" id="{74BD3B17-22A8-A9E4-AEC3-116330666706}"/>
                </a:ext>
                <a:ext uri="{147F2762-F138-4A5C-976F-8EAC2B608ADB}">
                  <a16:predDERef xmlns:a16="http://schemas.microsoft.com/office/drawing/2014/main" pred="{E18299CA-1305-33B4-6A96-0EB4FE3AE2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9525" y="2238375"/>
              <a:ext cx="2095500" cy="1619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5</xdr:col>
      <xdr:colOff>9525</xdr:colOff>
      <xdr:row>18</xdr:row>
      <xdr:rowOff>66675</xdr:rowOff>
    </xdr:from>
    <xdr:to>
      <xdr:col>8</xdr:col>
      <xdr:colOff>9525</xdr:colOff>
      <xdr:row>27</xdr:row>
      <xdr:rowOff>180975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9" name="Category">
              <a:extLst>
                <a:ext uri="{FF2B5EF4-FFF2-40B4-BE49-F238E27FC236}">
                  <a16:creationId xmlns:a16="http://schemas.microsoft.com/office/drawing/2014/main" id="{B4F11153-B4EB-136E-B784-8656EA753F61}"/>
                </a:ext>
                <a:ext uri="{147F2762-F138-4A5C-976F-8EAC2B608ADB}">
                  <a16:predDERef xmlns:a16="http://schemas.microsoft.com/office/drawing/2014/main" pred="{74BD3B17-22A8-A9E4-AEC3-1163306667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38575" y="3838575"/>
              <a:ext cx="2105025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18</xdr:col>
      <xdr:colOff>257175</xdr:colOff>
      <xdr:row>9</xdr:row>
      <xdr:rowOff>171450</xdr:rowOff>
    </xdr:from>
    <xdr:to>
      <xdr:col>25</xdr:col>
      <xdr:colOff>514350</xdr:colOff>
      <xdr:row>24</xdr:row>
      <xdr:rowOff>57150</xdr:rowOff>
    </xdr:to>
    <xdr:graphicFrame macro="">
      <xdr:nvGraphicFramePr>
        <xdr:cNvPr id="21" name="Çizelge 20">
          <a:extLst>
            <a:ext uri="{FF2B5EF4-FFF2-40B4-BE49-F238E27FC236}">
              <a16:creationId xmlns:a16="http://schemas.microsoft.com/office/drawing/2014/main" id="{48473AE9-4886-A428-E798-F475C74E8BCD}"/>
            </a:ext>
            <a:ext uri="{147F2762-F138-4A5C-976F-8EAC2B608ADB}">
              <a16:predDERef xmlns:a16="http://schemas.microsoft.com/office/drawing/2014/main" pred="{B4F11153-B4EB-136E-B784-8656EA753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419100</xdr:colOff>
      <xdr:row>9</xdr:row>
      <xdr:rowOff>142875</xdr:rowOff>
    </xdr:from>
    <xdr:to>
      <xdr:col>33</xdr:col>
      <xdr:colOff>209550</xdr:colOff>
      <xdr:row>24</xdr:row>
      <xdr:rowOff>28575</xdr:rowOff>
    </xdr:to>
    <xdr:graphicFrame macro="">
      <xdr:nvGraphicFramePr>
        <xdr:cNvPr id="22" name="Çizelge 21">
          <a:extLst>
            <a:ext uri="{FF2B5EF4-FFF2-40B4-BE49-F238E27FC236}">
              <a16:creationId xmlns:a16="http://schemas.microsoft.com/office/drawing/2014/main" id="{B7C9CB90-63A9-A61F-5219-6B5CB5306948}"/>
            </a:ext>
            <a:ext uri="{147F2762-F138-4A5C-976F-8EAC2B608ADB}">
              <a16:predDERef xmlns:a16="http://schemas.microsoft.com/office/drawing/2014/main" pred="{48473AE9-4886-A428-E798-F475C74E8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9.970704976855" createdVersion="8" refreshedVersion="8" minRefreshableVersion="3" recordCount="10" xr:uid="{84CCB5B8-C51E-43D0-A6E7-DEFD1752D4A7}">
  <cacheSource type="worksheet">
    <worksheetSource name="SalesData"/>
  </cacheSource>
  <cacheFields count="9">
    <cacheField name="Date" numFmtId="14">
      <sharedItems containsSemiMixedTypes="0" containsNonDate="0" containsDate="1" containsString="0" minDate="2023-01-05T00:00:00" maxDate="2023-05-19T00:00:00" count="10">
        <d v="2023-01-05T00:00:00"/>
        <d v="2023-01-10T00:00:00"/>
        <d v="2023-02-15T00:00:00"/>
        <d v="2023-02-20T00:00:00"/>
        <d v="2023-03-01T00:00:00"/>
        <d v="2023-03-12T00:00:00"/>
        <d v="2023-04-08T00:00:00"/>
        <d v="2023-04-15T00:00:00"/>
        <d v="2023-05-02T00:00:00"/>
        <d v="2023-05-18T00:00:00"/>
      </sharedItems>
    </cacheField>
    <cacheField name="Region" numFmtId="0">
      <sharedItems count="3">
        <s v="Aegean"/>
        <s v="Marmara"/>
        <s v="Mediterranean"/>
      </sharedItems>
    </cacheField>
    <cacheField name="City" numFmtId="0">
      <sharedItems/>
    </cacheField>
    <cacheField name="Category" numFmtId="0">
      <sharedItems count="3">
        <s v="Electronics"/>
        <s v="Appliances"/>
        <s v="Furniture"/>
      </sharedItems>
    </cacheField>
    <cacheField name="Product" numFmtId="0">
      <sharedItems/>
    </cacheField>
    <cacheField name="Sales" numFmtId="0">
      <sharedItems containsSemiMixedTypes="0" containsString="0" containsNumber="1" containsInteger="1" minValue="2000" maxValue="16000"/>
    </cacheField>
    <cacheField name="Profit" numFmtId="0">
      <sharedItems containsSemiMixedTypes="0" containsString="0" containsNumber="1" containsInteger="1" minValue="500" maxValue="3500"/>
    </cacheField>
    <cacheField name="Customer_ID" numFmtId="0">
      <sharedItems/>
    </cacheField>
    <cacheField name="Month" numFmtId="0">
      <sharedItems count="5">
        <s v="Oca"/>
        <s v="Şub"/>
        <s v="Mar"/>
        <s v="Nis"/>
        <s v="May"/>
      </sharedItems>
    </cacheField>
  </cacheFields>
  <extLst>
    <ext xmlns:x14="http://schemas.microsoft.com/office/spreadsheetml/2009/9/main" uri="{725AE2AE-9491-48be-B2B4-4EB974FC3084}">
      <x14:pivotCacheDefinition pivotCacheId="207089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x v="0"/>
    <s v="Izmir"/>
    <x v="0"/>
    <s v="Laptop"/>
    <n v="15000"/>
    <n v="3000"/>
    <s v="C001"/>
    <x v="0"/>
  </r>
  <r>
    <x v="1"/>
    <x v="1"/>
    <s v="Istanbul"/>
    <x v="1"/>
    <s v="Refrigerator"/>
    <n v="12000"/>
    <n v="2500"/>
    <s v="C002"/>
    <x v="0"/>
  </r>
  <r>
    <x v="2"/>
    <x v="2"/>
    <s v="Antalya"/>
    <x v="0"/>
    <s v="Phone"/>
    <n v="8000"/>
    <n v="1500"/>
    <s v="C003"/>
    <x v="1"/>
  </r>
  <r>
    <x v="3"/>
    <x v="0"/>
    <s v="Manisa"/>
    <x v="2"/>
    <s v="Table"/>
    <n v="5000"/>
    <n v="1000"/>
    <s v="C004"/>
    <x v="1"/>
  </r>
  <r>
    <x v="4"/>
    <x v="1"/>
    <s v="Bursa"/>
    <x v="0"/>
    <s v="Tablet"/>
    <n v="7000"/>
    <n v="1200"/>
    <s v="C005"/>
    <x v="2"/>
  </r>
  <r>
    <x v="5"/>
    <x v="0"/>
    <s v="Izmir"/>
    <x v="1"/>
    <s v="Washing Machine"/>
    <n v="11000"/>
    <n v="2200"/>
    <s v="C006"/>
    <x v="2"/>
  </r>
  <r>
    <x v="6"/>
    <x v="2"/>
    <s v="Adana"/>
    <x v="2"/>
    <s v="Sofa"/>
    <n v="9000"/>
    <n v="1800"/>
    <s v="C007"/>
    <x v="3"/>
  </r>
  <r>
    <x v="7"/>
    <x v="0"/>
    <s v="Aydin"/>
    <x v="0"/>
    <s v="Headphones"/>
    <n v="2000"/>
    <n v="500"/>
    <s v="C008"/>
    <x v="3"/>
  </r>
  <r>
    <x v="8"/>
    <x v="1"/>
    <s v="Istanbul"/>
    <x v="0"/>
    <s v="Laptop"/>
    <n v="16000"/>
    <n v="3500"/>
    <s v="C009"/>
    <x v="4"/>
  </r>
  <r>
    <x v="9"/>
    <x v="0"/>
    <s v="Denizli"/>
    <x v="2"/>
    <s v="Chair"/>
    <n v="3000"/>
    <n v="600"/>
    <s v="C01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71C3CF-A996-4CF1-B631-23AD9C86CAA7}" name="PivotTable8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K109:M126" firstHeaderRow="1" firstDataRow="1" firstDataCol="0"/>
  <pivotFields count="9"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D5EDCF-0631-43DB-A814-E4D3DF5B1A75}" name="PivotTable7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>
  <location ref="F11:H28" firstHeaderRow="1" firstDataRow="1" firstDataCol="0"/>
  <pivotFields count="9"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formats count="1">
    <format dxfId="11">
      <pivotArea type="all" dataOnly="0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C26250-9212-40F2-8241-7DA4D60D527A}" name="PivotTable6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1">
  <location ref="D103:E114" firstHeaderRow="1" firstDataRow="1" firstDataCol="1"/>
  <pivotFields count="9">
    <pivotField axis="axisRow" compact="0" numFmtId="14" outline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plam Sales" fld="5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F4ED6D-EF41-44CE-AF02-13DF4E8416E2}" name="PivotTable5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2">
  <location ref="H73:I77" firstHeaderRow="1" firstDataRow="1" firstDataCol="1"/>
  <pivotFields count="9">
    <pivotField compact="0" numFmtId="14" outline="0" showAll="0"/>
    <pivotField compact="0" outline="0" showAll="0">
      <items count="4">
        <item x="0"/>
        <item x="1"/>
        <item x="2"/>
        <item t="default"/>
      </items>
    </pivotField>
    <pivotField compact="0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D942FF-9E1A-4605-8362-B17608B6F4E2}" name="PivotTable4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2">
  <location ref="C71:D75" firstHeaderRow="1" firstDataRow="1" firstDataCol="1"/>
  <pivotFields count="9">
    <pivotField compact="0" numFmtId="14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plam Sales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4A1329-97DD-4E64-B860-46CDFE309B17}" name="PivotTable10" cacheId="263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compact="0" compactData="0" multipleFieldFilters="0" chartFormat="1">
  <location ref="O98:P104" firstHeaderRow="1" firstDataRow="1" firstDataCol="1"/>
  <pivotFields count="9"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Toplam Sales" fld="5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Region" xr10:uid="{EE1D5A15-6BC5-43F7-A01F-8E9355C1DF20}" sourceName="Region">
  <pivotTables>
    <pivotTable tabId="5" name="PivotTable8"/>
    <pivotTable tabId="5" name="PivotTable7"/>
    <pivotTable tabId="5" name="PivotTable6"/>
    <pivotTable tabId="5" name="PivotTable4"/>
    <pivotTable tabId="5" name="PivotTable5"/>
  </pivotTables>
  <data>
    <tabular pivotCacheId="2070894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Category" xr10:uid="{74C0C1C7-62F7-4ACA-8C76-3E440FBC78B4}" sourceName="Category">
  <pivotTables>
    <pivotTable tabId="5" name="PivotTable8"/>
  </pivotTables>
  <data>
    <tabular pivotCacheId="2070894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70FD2A44-326F-476C-BA95-180E95A6793B}" cache="Dilimleyici_Region" caption="Region" rowHeight="1276350"/>
  <slicer name="Category" xr10:uid="{082666F4-24B8-4576-9EC3-9EB06422E0B6}" cache="Dilimleyici_Category" caption="Category" rowHeight="12763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582EF9-4CE2-466A-BE48-616E8CD6523C}" name="SalesData" displayName="SalesData" ref="A1:I11" totalsRowShown="0" headerRowDxfId="10" dataDxfId="9">
  <autoFilter ref="A1:I11" xr:uid="{62582EF9-4CE2-466A-BE48-616E8CD6523C}"/>
  <tableColumns count="9">
    <tableColumn id="1" xr3:uid="{FD125788-F83C-4B41-83DF-9B2124C4B1A2}" name="Date" dataDxfId="8"/>
    <tableColumn id="2" xr3:uid="{51E28087-CD62-4724-84D5-ACE1F303F211}" name="Region" dataDxfId="7"/>
    <tableColumn id="3" xr3:uid="{2267588E-923D-4775-A228-2168473A9D42}" name="City" dataDxfId="6"/>
    <tableColumn id="4" xr3:uid="{7D834ADE-95E3-40EE-98A9-F7242D63D430}" name="Category" dataDxfId="5"/>
    <tableColumn id="5" xr3:uid="{6A8D51CA-A3FC-4B95-8697-63FF48D5F010}" name="Product" dataDxfId="4"/>
    <tableColumn id="6" xr3:uid="{3D9B8EEA-74AD-48F4-9ED1-F20D4F084892}" name="Sales" dataDxfId="3"/>
    <tableColumn id="7" xr3:uid="{C5F28B11-1F75-4A37-B7D8-E0A39DCB5D0D}" name="Profit" dataDxfId="2"/>
    <tableColumn id="8" xr3:uid="{709BBCA7-65D5-4F09-A758-5FA5FAE644F7}" name="Customer_ID" dataDxfId="1"/>
    <tableColumn id="9" xr3:uid="{B669273C-AA0D-4183-A55E-45076804C21E}" name="Month" dataDxfId="0">
      <calculatedColumnFormula>TEXT(SalesData[[#This Row],[Date]],"aaa")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B6CDF-3BF8-417F-B954-409A5207946D}">
  <dimension ref="A1:I11"/>
  <sheetViews>
    <sheetView workbookViewId="0">
      <selection activeCell="I3" sqref="I3"/>
    </sheetView>
  </sheetViews>
  <sheetFormatPr defaultRowHeight="15"/>
  <cols>
    <col min="1" max="1" width="14.5703125" style="1" customWidth="1"/>
    <col min="2" max="2" width="15.85546875" style="2" customWidth="1"/>
    <col min="3" max="3" width="13" style="2" customWidth="1"/>
    <col min="4" max="4" width="14" style="2" customWidth="1"/>
    <col min="5" max="5" width="16.42578125" style="2" bestFit="1" customWidth="1"/>
    <col min="6" max="6" width="10.5703125" style="2" customWidth="1"/>
    <col min="7" max="7" width="12.140625" style="2" customWidth="1"/>
    <col min="8" max="8" width="14.7109375" style="2" bestFit="1" customWidth="1"/>
    <col min="9" max="9" width="12.855468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1">
        <v>44931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15000</v>
      </c>
      <c r="G2" s="2">
        <v>3000</v>
      </c>
      <c r="H2" s="2" t="s">
        <v>13</v>
      </c>
      <c r="I2" s="2" t="str">
        <f>TEXT(SalesData[[#This Row],[Date]],"aaa")</f>
        <v>Oca</v>
      </c>
    </row>
    <row r="3" spans="1:9">
      <c r="A3" s="1">
        <v>44936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12000</v>
      </c>
      <c r="G3" s="2">
        <v>2500</v>
      </c>
      <c r="H3" s="2" t="s">
        <v>18</v>
      </c>
      <c r="I3" s="2" t="str">
        <f>TEXT(SalesData[[#This Row],[Date]],"aaa")</f>
        <v>Oca</v>
      </c>
    </row>
    <row r="4" spans="1:9">
      <c r="A4" s="1">
        <v>44972</v>
      </c>
      <c r="B4" s="2" t="s">
        <v>19</v>
      </c>
      <c r="C4" s="2" t="s">
        <v>20</v>
      </c>
      <c r="D4" s="2" t="s">
        <v>11</v>
      </c>
      <c r="E4" s="2" t="s">
        <v>21</v>
      </c>
      <c r="F4" s="2">
        <v>8000</v>
      </c>
      <c r="G4" s="2">
        <v>1500</v>
      </c>
      <c r="H4" s="2" t="s">
        <v>22</v>
      </c>
      <c r="I4" s="2" t="str">
        <f>TEXT(SalesData[[#This Row],[Date]],"aaa")</f>
        <v>Şub</v>
      </c>
    </row>
    <row r="5" spans="1:9">
      <c r="A5" s="1">
        <v>44977</v>
      </c>
      <c r="B5" s="2" t="s">
        <v>9</v>
      </c>
      <c r="C5" s="2" t="s">
        <v>23</v>
      </c>
      <c r="D5" s="2" t="s">
        <v>24</v>
      </c>
      <c r="E5" s="2" t="s">
        <v>25</v>
      </c>
      <c r="F5" s="2">
        <v>5000</v>
      </c>
      <c r="G5" s="2">
        <v>1000</v>
      </c>
      <c r="H5" s="2" t="s">
        <v>26</v>
      </c>
      <c r="I5" s="2" t="str">
        <f>TEXT(SalesData[[#This Row],[Date]],"aaa")</f>
        <v>Şub</v>
      </c>
    </row>
    <row r="6" spans="1:9">
      <c r="A6" s="1">
        <v>44986</v>
      </c>
      <c r="B6" s="2" t="s">
        <v>14</v>
      </c>
      <c r="C6" s="2" t="s">
        <v>27</v>
      </c>
      <c r="D6" s="2" t="s">
        <v>11</v>
      </c>
      <c r="E6" s="2" t="s">
        <v>28</v>
      </c>
      <c r="F6" s="2">
        <v>7000</v>
      </c>
      <c r="G6" s="2">
        <v>1200</v>
      </c>
      <c r="H6" s="2" t="s">
        <v>29</v>
      </c>
      <c r="I6" s="2" t="str">
        <f>TEXT(SalesData[[#This Row],[Date]],"aaa")</f>
        <v>Mar</v>
      </c>
    </row>
    <row r="7" spans="1:9">
      <c r="A7" s="1">
        <v>44997</v>
      </c>
      <c r="B7" s="2" t="s">
        <v>9</v>
      </c>
      <c r="C7" s="2" t="s">
        <v>10</v>
      </c>
      <c r="D7" s="2" t="s">
        <v>16</v>
      </c>
      <c r="E7" s="2" t="s">
        <v>30</v>
      </c>
      <c r="F7" s="2">
        <v>11000</v>
      </c>
      <c r="G7" s="2">
        <v>2200</v>
      </c>
      <c r="H7" s="2" t="s">
        <v>31</v>
      </c>
      <c r="I7" s="2" t="str">
        <f>TEXT(SalesData[[#This Row],[Date]],"aaa")</f>
        <v>Mar</v>
      </c>
    </row>
    <row r="8" spans="1:9">
      <c r="A8" s="1">
        <v>45024</v>
      </c>
      <c r="B8" s="2" t="s">
        <v>19</v>
      </c>
      <c r="C8" s="2" t="s">
        <v>32</v>
      </c>
      <c r="D8" s="2" t="s">
        <v>24</v>
      </c>
      <c r="E8" s="2" t="s">
        <v>33</v>
      </c>
      <c r="F8" s="2">
        <v>9000</v>
      </c>
      <c r="G8" s="2">
        <v>1800</v>
      </c>
      <c r="H8" s="2" t="s">
        <v>34</v>
      </c>
      <c r="I8" s="2" t="str">
        <f>TEXT(SalesData[[#This Row],[Date]],"aaa")</f>
        <v>Nis</v>
      </c>
    </row>
    <row r="9" spans="1:9">
      <c r="A9" s="1">
        <v>45031</v>
      </c>
      <c r="B9" s="2" t="s">
        <v>9</v>
      </c>
      <c r="C9" s="2" t="s">
        <v>35</v>
      </c>
      <c r="D9" s="2" t="s">
        <v>11</v>
      </c>
      <c r="E9" s="2" t="s">
        <v>36</v>
      </c>
      <c r="F9" s="2">
        <v>2000</v>
      </c>
      <c r="G9" s="2">
        <v>500</v>
      </c>
      <c r="H9" s="2" t="s">
        <v>37</v>
      </c>
      <c r="I9" s="2" t="str">
        <f>TEXT(SalesData[[#This Row],[Date]],"aaa")</f>
        <v>Nis</v>
      </c>
    </row>
    <row r="10" spans="1:9">
      <c r="A10" s="1">
        <v>45048</v>
      </c>
      <c r="B10" s="2" t="s">
        <v>14</v>
      </c>
      <c r="C10" s="2" t="s">
        <v>15</v>
      </c>
      <c r="D10" s="2" t="s">
        <v>11</v>
      </c>
      <c r="E10" s="2" t="s">
        <v>12</v>
      </c>
      <c r="F10" s="2">
        <v>16000</v>
      </c>
      <c r="G10" s="2">
        <v>3500</v>
      </c>
      <c r="H10" s="2" t="s">
        <v>38</v>
      </c>
      <c r="I10" s="2" t="str">
        <f>TEXT(SalesData[[#This Row],[Date]],"aaa")</f>
        <v>May</v>
      </c>
    </row>
    <row r="11" spans="1:9">
      <c r="A11" s="1">
        <v>45064</v>
      </c>
      <c r="B11" s="2" t="s">
        <v>9</v>
      </c>
      <c r="C11" s="2" t="s">
        <v>39</v>
      </c>
      <c r="D11" s="2" t="s">
        <v>24</v>
      </c>
      <c r="E11" s="2" t="s">
        <v>40</v>
      </c>
      <c r="F11" s="2">
        <v>3000</v>
      </c>
      <c r="G11" s="2">
        <v>600</v>
      </c>
      <c r="H11" s="2" t="s">
        <v>41</v>
      </c>
      <c r="I11" s="2" t="str">
        <f>TEXT(SalesData[[#This Row],[Date]],"aaa")</f>
        <v>May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4032-F984-4B72-914B-46836C0C3063}">
  <dimension ref="A4:AE126"/>
  <sheetViews>
    <sheetView showGridLines="0" tabSelected="1" topLeftCell="E1" workbookViewId="0">
      <selection activeCell="O98" sqref="O98"/>
    </sheetView>
  </sheetViews>
  <sheetFormatPr defaultRowHeight="15"/>
  <cols>
    <col min="1" max="2" width="9.140625" style="3"/>
    <col min="3" max="3" width="14" style="3" customWidth="1"/>
    <col min="4" max="5" width="12.5703125" style="3" bestFit="1" customWidth="1"/>
    <col min="6" max="7" width="9.140625" style="3"/>
    <col min="8" max="8" width="13.28515625" style="3" bestFit="1" customWidth="1"/>
    <col min="9" max="9" width="12.5703125" style="3" bestFit="1" customWidth="1"/>
    <col min="10" max="14" width="9.140625" style="3"/>
    <col min="15" max="15" width="13.28515625" style="3" bestFit="1" customWidth="1"/>
    <col min="16" max="16" width="12.5703125" style="3" bestFit="1" customWidth="1"/>
    <col min="17" max="18" width="9.140625" style="3"/>
    <col min="19" max="19" width="9.85546875" style="3" bestFit="1" customWidth="1"/>
    <col min="20" max="29" width="9.140625" style="3"/>
    <col min="30" max="30" width="26" style="3" customWidth="1"/>
    <col min="31" max="16384" width="9.140625" style="3"/>
  </cols>
  <sheetData>
    <row r="4" spans="1:31" ht="33.75">
      <c r="A4" s="19"/>
      <c r="B4" s="17"/>
      <c r="C4" s="19"/>
      <c r="D4" s="21"/>
      <c r="E4" s="17"/>
      <c r="F4" s="17"/>
      <c r="G4" s="18"/>
      <c r="H4" s="17"/>
      <c r="K4" s="17"/>
      <c r="N4" s="23" t="s">
        <v>42</v>
      </c>
      <c r="S4" s="23" t="s">
        <v>43</v>
      </c>
      <c r="Y4" s="23" t="s">
        <v>44</v>
      </c>
      <c r="AD4" s="23" t="s">
        <v>45</v>
      </c>
      <c r="AE4" s="17"/>
    </row>
    <row r="5" spans="1:31" ht="23.25">
      <c r="B5" s="20"/>
      <c r="E5" s="20"/>
      <c r="H5" s="20"/>
      <c r="K5" s="20"/>
      <c r="N5" s="22">
        <f>SUM(SalesData[Sales])</f>
        <v>88000</v>
      </c>
      <c r="S5" s="22">
        <f>SUM(SalesData[Profit])</f>
        <v>17800</v>
      </c>
      <c r="Y5" s="22">
        <f>SUM(SalesData[Profit]) / SUM(SalesData[Sales])</f>
        <v>0.20227272727272727</v>
      </c>
      <c r="AD5" s="22">
        <f>COUNTA(SalesData[Customer_ID])</f>
        <v>10</v>
      </c>
    </row>
    <row r="6" spans="1:31">
      <c r="B6" s="4"/>
    </row>
    <row r="11" spans="1:31">
      <c r="F11" s="24"/>
      <c r="G11" s="25"/>
      <c r="H11" s="26"/>
    </row>
    <row r="12" spans="1:31">
      <c r="F12" s="27"/>
      <c r="G12" s="28"/>
      <c r="H12" s="29"/>
    </row>
    <row r="13" spans="1:31">
      <c r="F13" s="27"/>
      <c r="G13" s="28"/>
      <c r="H13" s="29"/>
    </row>
    <row r="14" spans="1:31">
      <c r="F14" s="27"/>
      <c r="G14" s="28"/>
      <c r="H14" s="29"/>
    </row>
    <row r="15" spans="1:31">
      <c r="F15" s="27"/>
      <c r="G15" s="28"/>
      <c r="H15" s="29"/>
    </row>
    <row r="16" spans="1:31">
      <c r="F16" s="27"/>
      <c r="G16" s="28"/>
      <c r="H16" s="29"/>
    </row>
    <row r="17" spans="6:8">
      <c r="F17" s="27"/>
      <c r="G17" s="28"/>
      <c r="H17" s="29"/>
    </row>
    <row r="18" spans="6:8">
      <c r="F18" s="27"/>
      <c r="G18" s="28"/>
      <c r="H18" s="29"/>
    </row>
    <row r="19" spans="6:8">
      <c r="F19" s="27"/>
      <c r="G19" s="28"/>
      <c r="H19" s="29"/>
    </row>
    <row r="20" spans="6:8">
      <c r="F20" s="27"/>
      <c r="G20" s="28"/>
      <c r="H20" s="29"/>
    </row>
    <row r="21" spans="6:8">
      <c r="F21" s="27"/>
      <c r="G21" s="28"/>
      <c r="H21" s="29"/>
    </row>
    <row r="22" spans="6:8">
      <c r="F22" s="27"/>
      <c r="G22" s="28"/>
      <c r="H22" s="29"/>
    </row>
    <row r="23" spans="6:8">
      <c r="F23" s="27"/>
      <c r="G23" s="28"/>
      <c r="H23" s="29"/>
    </row>
    <row r="24" spans="6:8">
      <c r="F24" s="27"/>
      <c r="G24" s="28"/>
      <c r="H24" s="29"/>
    </row>
    <row r="25" spans="6:8">
      <c r="F25" s="27"/>
      <c r="G25" s="28"/>
      <c r="H25" s="29"/>
    </row>
    <row r="26" spans="6:8">
      <c r="F26" s="27"/>
      <c r="G26" s="28"/>
      <c r="H26" s="29"/>
    </row>
    <row r="27" spans="6:8">
      <c r="F27" s="27"/>
      <c r="G27" s="28"/>
      <c r="H27" s="29"/>
    </row>
    <row r="28" spans="6:8">
      <c r="F28" s="30"/>
      <c r="G28" s="31"/>
      <c r="H28" s="32"/>
    </row>
    <row r="71" spans="3:10">
      <c r="C71" s="15" t="s">
        <v>1</v>
      </c>
      <c r="D71" t="s">
        <v>46</v>
      </c>
      <c r="E71"/>
    </row>
    <row r="72" spans="3:10">
      <c r="C72" t="s">
        <v>9</v>
      </c>
      <c r="D72" s="14">
        <v>36000</v>
      </c>
      <c r="E72"/>
    </row>
    <row r="73" spans="3:10">
      <c r="C73" t="s">
        <v>14</v>
      </c>
      <c r="D73" s="14">
        <v>35000</v>
      </c>
      <c r="E73"/>
      <c r="H73" s="15" t="s">
        <v>3</v>
      </c>
      <c r="I73" t="s">
        <v>46</v>
      </c>
      <c r="J73"/>
    </row>
    <row r="74" spans="3:10">
      <c r="C74" t="s">
        <v>19</v>
      </c>
      <c r="D74" s="14">
        <v>17000</v>
      </c>
      <c r="E74"/>
      <c r="H74" t="s">
        <v>16</v>
      </c>
      <c r="I74" s="14">
        <v>23000</v>
      </c>
      <c r="J74"/>
    </row>
    <row r="75" spans="3:10">
      <c r="C75" t="s">
        <v>47</v>
      </c>
      <c r="D75" s="14">
        <v>88000</v>
      </c>
      <c r="E75"/>
      <c r="H75" t="s">
        <v>11</v>
      </c>
      <c r="I75" s="14">
        <v>48000</v>
      </c>
      <c r="J75"/>
    </row>
    <row r="76" spans="3:10">
      <c r="C76"/>
      <c r="D76"/>
      <c r="E76"/>
      <c r="H76" t="s">
        <v>24</v>
      </c>
      <c r="I76" s="14">
        <v>17000</v>
      </c>
      <c r="J76"/>
    </row>
    <row r="77" spans="3:10">
      <c r="C77"/>
      <c r="D77"/>
      <c r="E77"/>
      <c r="H77" t="s">
        <v>47</v>
      </c>
      <c r="I77" s="14">
        <v>88000</v>
      </c>
      <c r="J77"/>
    </row>
    <row r="78" spans="3:10">
      <c r="C78"/>
      <c r="D78"/>
      <c r="E78"/>
      <c r="H78"/>
      <c r="I78"/>
      <c r="J78"/>
    </row>
    <row r="79" spans="3:10">
      <c r="C79"/>
      <c r="D79"/>
      <c r="E79"/>
      <c r="H79"/>
      <c r="I79"/>
      <c r="J79"/>
    </row>
    <row r="80" spans="3:10">
      <c r="C80"/>
      <c r="D80"/>
      <c r="E80"/>
      <c r="H80"/>
      <c r="I80"/>
      <c r="J80"/>
    </row>
    <row r="81" spans="3:10">
      <c r="C81"/>
      <c r="D81"/>
      <c r="E81"/>
      <c r="H81"/>
      <c r="I81"/>
      <c r="J81"/>
    </row>
    <row r="82" spans="3:10">
      <c r="C82"/>
      <c r="D82"/>
      <c r="E82"/>
      <c r="H82"/>
      <c r="I82"/>
      <c r="J82"/>
    </row>
    <row r="83" spans="3:10">
      <c r="C83"/>
      <c r="D83"/>
      <c r="E83"/>
      <c r="H83"/>
      <c r="I83"/>
      <c r="J83"/>
    </row>
    <row r="84" spans="3:10">
      <c r="C84"/>
      <c r="D84"/>
      <c r="E84"/>
      <c r="H84"/>
      <c r="I84"/>
      <c r="J84"/>
    </row>
    <row r="85" spans="3:10">
      <c r="C85"/>
      <c r="D85"/>
      <c r="E85"/>
      <c r="H85"/>
      <c r="I85"/>
      <c r="J85"/>
    </row>
    <row r="86" spans="3:10">
      <c r="C86"/>
      <c r="D86"/>
      <c r="E86"/>
      <c r="H86"/>
      <c r="I86"/>
      <c r="J86"/>
    </row>
    <row r="87" spans="3:10">
      <c r="C87"/>
      <c r="D87"/>
      <c r="E87"/>
      <c r="H87"/>
      <c r="I87"/>
      <c r="J87"/>
    </row>
    <row r="88" spans="3:10">
      <c r="C88"/>
      <c r="D88"/>
      <c r="E88"/>
      <c r="H88"/>
      <c r="I88"/>
      <c r="J88"/>
    </row>
    <row r="89" spans="3:10">
      <c r="H89"/>
      <c r="I89"/>
      <c r="J89"/>
    </row>
    <row r="90" spans="3:10">
      <c r="H90"/>
      <c r="I90"/>
      <c r="J90"/>
    </row>
    <row r="98" spans="4:17">
      <c r="O98" s="15" t="s">
        <v>8</v>
      </c>
      <c r="P98" t="s">
        <v>46</v>
      </c>
      <c r="Q98"/>
    </row>
    <row r="99" spans="4:17">
      <c r="O99" t="s">
        <v>48</v>
      </c>
      <c r="P99" s="14">
        <v>27000</v>
      </c>
      <c r="Q99"/>
    </row>
    <row r="100" spans="4:17">
      <c r="O100" t="s">
        <v>49</v>
      </c>
      <c r="P100" s="14">
        <v>13000</v>
      </c>
      <c r="Q100"/>
    </row>
    <row r="101" spans="4:17">
      <c r="D101"/>
      <c r="E101"/>
      <c r="O101" t="s">
        <v>50</v>
      </c>
      <c r="P101" s="14">
        <v>18000</v>
      </c>
      <c r="Q101"/>
    </row>
    <row r="102" spans="4:17">
      <c r="O102" t="s">
        <v>51</v>
      </c>
      <c r="P102" s="14">
        <v>11000</v>
      </c>
      <c r="Q102"/>
    </row>
    <row r="103" spans="4:17">
      <c r="D103" s="15" t="s">
        <v>0</v>
      </c>
      <c r="E103" t="s">
        <v>46</v>
      </c>
      <c r="F103"/>
      <c r="O103" t="s">
        <v>52</v>
      </c>
      <c r="P103" s="14">
        <v>19000</v>
      </c>
      <c r="Q103"/>
    </row>
    <row r="104" spans="4:17">
      <c r="D104" s="16">
        <v>44931</v>
      </c>
      <c r="E104" s="14">
        <v>15000</v>
      </c>
      <c r="F104"/>
      <c r="O104" t="s">
        <v>47</v>
      </c>
      <c r="P104" s="14">
        <v>88000</v>
      </c>
      <c r="Q104"/>
    </row>
    <row r="105" spans="4:17">
      <c r="D105" s="16">
        <v>44936</v>
      </c>
      <c r="E105" s="14">
        <v>12000</v>
      </c>
      <c r="F105"/>
      <c r="O105"/>
      <c r="P105"/>
      <c r="Q105"/>
    </row>
    <row r="106" spans="4:17">
      <c r="D106" s="16">
        <v>44972</v>
      </c>
      <c r="E106" s="14">
        <v>8000</v>
      </c>
      <c r="F106"/>
      <c r="O106"/>
      <c r="P106"/>
      <c r="Q106"/>
    </row>
    <row r="107" spans="4:17">
      <c r="D107" s="16">
        <v>44977</v>
      </c>
      <c r="E107" s="14">
        <v>5000</v>
      </c>
      <c r="F107"/>
      <c r="O107"/>
      <c r="P107"/>
      <c r="Q107"/>
    </row>
    <row r="108" spans="4:17">
      <c r="D108" s="16">
        <v>44986</v>
      </c>
      <c r="E108" s="14">
        <v>7000</v>
      </c>
      <c r="F108"/>
      <c r="O108"/>
      <c r="P108"/>
      <c r="Q108"/>
    </row>
    <row r="109" spans="4:17">
      <c r="D109" s="16">
        <v>44997</v>
      </c>
      <c r="E109" s="14">
        <v>11000</v>
      </c>
      <c r="F109"/>
      <c r="K109" s="5"/>
      <c r="L109" s="6"/>
      <c r="M109" s="7"/>
      <c r="O109"/>
      <c r="P109"/>
      <c r="Q109"/>
    </row>
    <row r="110" spans="4:17">
      <c r="D110" s="16">
        <v>45024</v>
      </c>
      <c r="E110" s="14">
        <v>9000</v>
      </c>
      <c r="F110"/>
      <c r="K110" s="8"/>
      <c r="L110" s="9"/>
      <c r="M110" s="10"/>
      <c r="O110"/>
      <c r="P110"/>
      <c r="Q110"/>
    </row>
    <row r="111" spans="4:17">
      <c r="D111" s="16">
        <v>45031</v>
      </c>
      <c r="E111" s="14">
        <v>2000</v>
      </c>
      <c r="F111"/>
      <c r="K111" s="8"/>
      <c r="L111" s="9"/>
      <c r="M111" s="10"/>
      <c r="O111"/>
      <c r="P111"/>
      <c r="Q111"/>
    </row>
    <row r="112" spans="4:17">
      <c r="D112" s="16">
        <v>45048</v>
      </c>
      <c r="E112" s="14">
        <v>16000</v>
      </c>
      <c r="F112"/>
      <c r="K112" s="8"/>
      <c r="L112" s="9"/>
      <c r="M112" s="10"/>
      <c r="O112"/>
      <c r="P112"/>
      <c r="Q112"/>
    </row>
    <row r="113" spans="4:17">
      <c r="D113" s="16">
        <v>45064</v>
      </c>
      <c r="E113" s="14">
        <v>3000</v>
      </c>
      <c r="F113"/>
      <c r="K113" s="8"/>
      <c r="L113" s="9"/>
      <c r="M113" s="10"/>
      <c r="O113"/>
      <c r="P113"/>
      <c r="Q113"/>
    </row>
    <row r="114" spans="4:17">
      <c r="D114" s="16" t="s">
        <v>47</v>
      </c>
      <c r="E114" s="14">
        <v>88000</v>
      </c>
      <c r="F114"/>
      <c r="K114" s="8"/>
      <c r="L114" s="9"/>
      <c r="M114" s="10"/>
      <c r="O114"/>
      <c r="P114"/>
      <c r="Q114"/>
    </row>
    <row r="115" spans="4:17">
      <c r="D115"/>
      <c r="E115"/>
      <c r="F115"/>
      <c r="K115" s="8"/>
      <c r="L115" s="9"/>
      <c r="M115" s="10"/>
      <c r="O115"/>
      <c r="P115"/>
      <c r="Q115"/>
    </row>
    <row r="116" spans="4:17">
      <c r="D116"/>
      <c r="E116"/>
      <c r="F116"/>
      <c r="K116" s="8"/>
      <c r="L116" s="9"/>
      <c r="M116" s="10"/>
    </row>
    <row r="117" spans="4:17">
      <c r="D117"/>
      <c r="E117"/>
      <c r="F117"/>
      <c r="K117" s="8"/>
      <c r="L117" s="9"/>
      <c r="M117" s="10"/>
    </row>
    <row r="118" spans="4:17">
      <c r="D118"/>
      <c r="E118"/>
      <c r="F118"/>
      <c r="K118" s="8"/>
      <c r="L118" s="9"/>
      <c r="M118" s="10"/>
    </row>
    <row r="119" spans="4:17">
      <c r="D119"/>
      <c r="E119"/>
      <c r="F119"/>
      <c r="K119" s="8"/>
      <c r="L119" s="9"/>
      <c r="M119" s="10"/>
    </row>
    <row r="120" spans="4:17">
      <c r="D120"/>
      <c r="E120"/>
      <c r="F120"/>
      <c r="K120" s="8"/>
      <c r="L120" s="9"/>
      <c r="M120" s="10"/>
    </row>
    <row r="121" spans="4:17">
      <c r="K121" s="8"/>
      <c r="L121" s="9"/>
      <c r="M121" s="10"/>
    </row>
    <row r="122" spans="4:17">
      <c r="K122" s="8"/>
      <c r="L122" s="9"/>
      <c r="M122" s="10"/>
    </row>
    <row r="123" spans="4:17">
      <c r="K123" s="8"/>
      <c r="L123" s="9"/>
      <c r="M123" s="10"/>
    </row>
    <row r="124" spans="4:17">
      <c r="K124" s="8"/>
      <c r="L124" s="9"/>
      <c r="M124" s="10"/>
    </row>
    <row r="125" spans="4:17">
      <c r="K125" s="8"/>
      <c r="L125" s="9"/>
      <c r="M125" s="10"/>
    </row>
    <row r="126" spans="4:17">
      <c r="K126" s="11"/>
      <c r="L126" s="12"/>
      <c r="M126" s="13"/>
    </row>
  </sheetData>
  <pageMargins left="0.7" right="0.7" top="0.75" bottom="0.75" header="0.3" footer="0.3"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2026-03-27T15:25:35Z</dcterms:created>
  <dcterms:modified xsi:type="dcterms:W3CDTF">2026-03-29T16:23:40Z</dcterms:modified>
  <cp:category/>
  <cp:contentStatus/>
</cp:coreProperties>
</file>